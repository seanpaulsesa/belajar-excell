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lajar Excell\belajar-excell\"/>
    </mc:Choice>
  </mc:AlternateContent>
  <xr:revisionPtr revIDLastSave="0" documentId="13_ncr:1_{53318BE2-1A5C-490E-BBFA-F7378F038890}" xr6:coauthVersionLast="47" xr6:coauthVersionMax="47" xr10:uidLastSave="{00000000-0000-0000-0000-000000000000}"/>
  <bookViews>
    <workbookView xWindow="-110" yWindow="-110" windowWidth="19420" windowHeight="10300" xr2:uid="{DCFC0827-0EF9-42A2-9AA5-829752BCFC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1" l="1"/>
  <c r="C18" i="1"/>
  <c r="C17" i="1"/>
  <c r="H3" i="1"/>
  <c r="H4" i="1"/>
  <c r="H5" i="1"/>
  <c r="H6" i="1"/>
  <c r="H7" i="1"/>
  <c r="H8" i="1"/>
  <c r="H9" i="1"/>
  <c r="H10" i="1"/>
  <c r="H11" i="1"/>
  <c r="H2" i="1"/>
  <c r="C15" i="1"/>
  <c r="C14" i="1"/>
  <c r="C13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<sst xmlns="http://schemas.openxmlformats.org/spreadsheetml/2006/main" count="37" uniqueCount="29">
  <si>
    <t xml:space="preserve">Nama Murid </t>
  </si>
  <si>
    <t>L/P</t>
  </si>
  <si>
    <t>MTK</t>
  </si>
  <si>
    <t xml:space="preserve">IPA </t>
  </si>
  <si>
    <t>IPS</t>
  </si>
  <si>
    <t xml:space="preserve">Total Nilai </t>
  </si>
  <si>
    <t xml:space="preserve">Nilai Rata Rata </t>
  </si>
  <si>
    <t>Status</t>
  </si>
  <si>
    <t xml:space="preserve">Andi </t>
  </si>
  <si>
    <t>Budi</t>
  </si>
  <si>
    <t xml:space="preserve">Clara </t>
  </si>
  <si>
    <t>Eko</t>
  </si>
  <si>
    <t>Dewi</t>
  </si>
  <si>
    <t>Fiona</t>
  </si>
  <si>
    <t xml:space="preserve">Gina </t>
  </si>
  <si>
    <t>Hesty</t>
  </si>
  <si>
    <t>Iqbal</t>
  </si>
  <si>
    <t>Juned</t>
  </si>
  <si>
    <t>P</t>
  </si>
  <si>
    <t>L</t>
  </si>
  <si>
    <t>kriteria kelulusan berdasarkan nilai rata rata</t>
  </si>
  <si>
    <t>kriteria 65-100 Lulus</t>
  </si>
  <si>
    <t>dibawah 65 tidak Lulus</t>
  </si>
  <si>
    <t xml:space="preserve">Banyak murid dikelas </t>
  </si>
  <si>
    <t>nilai rata rata tertingi</t>
  </si>
  <si>
    <t>nilai rata rata terendah</t>
  </si>
  <si>
    <t>Banyaknya Murid yang Lulus</t>
  </si>
  <si>
    <t>Jumlah total nilai murid yang Lulus</t>
  </si>
  <si>
    <t>Rata rata nilai murid yang Lulus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</si>
</sst>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8" formatCode="0.0"/>
    <numFmt numFmtId="172" formatCode="_-* #,##0_-;\-* #,##0_-;_-* &quot;-&quot;??_-;_-@_-"/>
  </numFmts>
  <fonts count="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1" xfId="0" applyBorder="1"/>
    <xf numFmtId="0" fontId="2" fillId="0" borderId="2" xfId="0" applyFon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168" fontId="0" fillId="0" borderId="2" xfId="1" applyNumberFormat="1" applyFont="1" applyBorder="1" applyAlignment="1">
      <alignment horizontal="center"/>
    </xf>
    <xf numFmtId="0" fontId="0" fillId="0" borderId="3" xfId="0" applyBorder="1"/>
    <xf numFmtId="168" fontId="0" fillId="0" borderId="4" xfId="0" applyNumberFormat="1" applyBorder="1"/>
    <xf numFmtId="168" fontId="0" fillId="0" borderId="5" xfId="0" applyNumberFormat="1" applyBorder="1"/>
    <xf numFmtId="172" fontId="0" fillId="0" borderId="4" xfId="1" applyNumberFormat="1" applyFont="1" applyBorder="1"/>
    <xf numFmtId="172" fontId="0" fillId="0" borderId="5" xfId="1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D533A-AE0B-4640-BC1B-D3FD2DBCD499}">
  <dimension ref="A1:L19"/>
  <sheetViews>
    <sheetView tabSelected="1" zoomScaleNormal="100" zoomScaleSheetLayoutView="100" workbookViewId="0">
      <selection activeCell="H14" sqref="H14"/>
    </sheetView>
  </sheetViews>
  <sheetFormatPr defaultRowHeight="14.5" x14ac:dyDescent="0.35"/>
  <cols>
    <col min="1" max="8" width="15.6328125" customWidth="1"/>
    <col min="9" max="9" width="14" customWidth="1"/>
    <col min="10" max="10" width="14.1796875" customWidth="1"/>
    <col min="11" max="11" width="8.7265625" customWidth="1"/>
  </cols>
  <sheetData>
    <row r="1" spans="1:12" ht="15" thickBot="1" x14ac:dyDescent="0.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1"/>
      <c r="J1" s="2" t="s">
        <v>20</v>
      </c>
      <c r="K1" s="1"/>
      <c r="L1" s="1"/>
    </row>
    <row r="2" spans="1:12" ht="15" thickBot="1" x14ac:dyDescent="0.4">
      <c r="A2" s="5" t="s">
        <v>8</v>
      </c>
      <c r="B2" s="6" t="s">
        <v>19</v>
      </c>
      <c r="C2" s="6">
        <v>80</v>
      </c>
      <c r="D2" s="6">
        <v>90</v>
      </c>
      <c r="E2" s="6">
        <v>95</v>
      </c>
      <c r="F2" s="6">
        <f>SUM(C2:E2)</f>
        <v>265</v>
      </c>
      <c r="G2" s="7">
        <f>AVERAGE(C2:E2)</f>
        <v>88.333333333333329</v>
      </c>
      <c r="H2" s="5" t="str">
        <f>IF(G2&gt;65,"Lulus","Tidak Lulus")</f>
        <v>Lulus</v>
      </c>
      <c r="I2" s="1" t="s">
        <v>21</v>
      </c>
      <c r="J2" s="1"/>
      <c r="K2" s="1"/>
      <c r="L2" s="1"/>
    </row>
    <row r="3" spans="1:12" ht="15" thickBot="1" x14ac:dyDescent="0.4">
      <c r="A3" s="5" t="s">
        <v>9</v>
      </c>
      <c r="B3" s="6" t="s">
        <v>19</v>
      </c>
      <c r="C3" s="6">
        <v>40</v>
      </c>
      <c r="D3" s="6">
        <v>56</v>
      </c>
      <c r="E3" s="6">
        <v>45</v>
      </c>
      <c r="F3" s="6">
        <f t="shared" ref="F3:F11" si="0">SUM(C3:E3)</f>
        <v>141</v>
      </c>
      <c r="G3" s="7">
        <f t="shared" ref="G3:G11" si="1">AVERAGE(C3:E3)</f>
        <v>47</v>
      </c>
      <c r="H3" s="5" t="str">
        <f t="shared" ref="H3:H11" si="2">IF(G3&gt;65,"Lulus","Tidak Lulus")</f>
        <v>Tidak Lulus</v>
      </c>
      <c r="I3" s="1" t="s">
        <v>22</v>
      </c>
      <c r="J3" s="1"/>
      <c r="K3" s="1"/>
      <c r="L3" s="1"/>
    </row>
    <row r="4" spans="1:12" ht="15" thickBot="1" x14ac:dyDescent="0.4">
      <c r="A4" s="5" t="s">
        <v>10</v>
      </c>
      <c r="B4" s="6" t="s">
        <v>18</v>
      </c>
      <c r="C4" s="6">
        <v>26</v>
      </c>
      <c r="D4" s="6">
        <v>85</v>
      </c>
      <c r="E4" s="6">
        <v>74</v>
      </c>
      <c r="F4" s="6">
        <f t="shared" si="0"/>
        <v>185</v>
      </c>
      <c r="G4" s="7">
        <f t="shared" si="1"/>
        <v>61.666666666666664</v>
      </c>
      <c r="H4" s="5" t="str">
        <f t="shared" si="2"/>
        <v>Tidak Lulus</v>
      </c>
    </row>
    <row r="5" spans="1:12" ht="15" thickBot="1" x14ac:dyDescent="0.4">
      <c r="A5" s="5" t="s">
        <v>11</v>
      </c>
      <c r="B5" s="6" t="s">
        <v>19</v>
      </c>
      <c r="C5" s="6">
        <v>89</v>
      </c>
      <c r="D5" s="6">
        <v>86</v>
      </c>
      <c r="E5" s="6">
        <v>91</v>
      </c>
      <c r="F5" s="6">
        <f t="shared" si="0"/>
        <v>266</v>
      </c>
      <c r="G5" s="7">
        <f t="shared" si="1"/>
        <v>88.666666666666671</v>
      </c>
      <c r="H5" s="5" t="str">
        <f t="shared" si="2"/>
        <v>Lulus</v>
      </c>
    </row>
    <row r="6" spans="1:12" ht="15" thickBot="1" x14ac:dyDescent="0.4">
      <c r="A6" s="5" t="s">
        <v>12</v>
      </c>
      <c r="B6" s="6" t="s">
        <v>18</v>
      </c>
      <c r="C6" s="6">
        <v>56</v>
      </c>
      <c r="D6" s="6">
        <v>82</v>
      </c>
      <c r="E6" s="6">
        <v>66</v>
      </c>
      <c r="F6" s="6">
        <f t="shared" si="0"/>
        <v>204</v>
      </c>
      <c r="G6" s="7">
        <f t="shared" si="1"/>
        <v>68</v>
      </c>
      <c r="H6" s="5" t="str">
        <f t="shared" si="2"/>
        <v>Lulus</v>
      </c>
    </row>
    <row r="7" spans="1:12" ht="15" thickBot="1" x14ac:dyDescent="0.4">
      <c r="A7" s="5" t="s">
        <v>13</v>
      </c>
      <c r="B7" s="6" t="s">
        <v>18</v>
      </c>
      <c r="C7" s="6">
        <v>48</v>
      </c>
      <c r="D7" s="6">
        <v>56</v>
      </c>
      <c r="E7" s="6">
        <v>75</v>
      </c>
      <c r="F7" s="6">
        <f t="shared" si="0"/>
        <v>179</v>
      </c>
      <c r="G7" s="7">
        <f t="shared" si="1"/>
        <v>59.666666666666664</v>
      </c>
      <c r="H7" s="5" t="str">
        <f t="shared" si="2"/>
        <v>Tidak Lulus</v>
      </c>
    </row>
    <row r="8" spans="1:12" ht="15" thickBot="1" x14ac:dyDescent="0.4">
      <c r="A8" s="5" t="s">
        <v>14</v>
      </c>
      <c r="B8" s="6" t="s">
        <v>18</v>
      </c>
      <c r="C8" s="6">
        <v>29</v>
      </c>
      <c r="D8" s="6">
        <v>95</v>
      </c>
      <c r="E8" s="6">
        <v>77</v>
      </c>
      <c r="F8" s="6">
        <f t="shared" si="0"/>
        <v>201</v>
      </c>
      <c r="G8" s="7">
        <f t="shared" si="1"/>
        <v>67</v>
      </c>
      <c r="H8" s="5" t="str">
        <f t="shared" si="2"/>
        <v>Lulus</v>
      </c>
    </row>
    <row r="9" spans="1:12" ht="15" thickBot="1" x14ac:dyDescent="0.4">
      <c r="A9" s="5" t="s">
        <v>15</v>
      </c>
      <c r="B9" s="6" t="s">
        <v>18</v>
      </c>
      <c r="C9" s="6">
        <v>89</v>
      </c>
      <c r="D9" s="6">
        <v>85</v>
      </c>
      <c r="E9" s="6">
        <v>84</v>
      </c>
      <c r="F9" s="6">
        <f t="shared" si="0"/>
        <v>258</v>
      </c>
      <c r="G9" s="7">
        <f t="shared" si="1"/>
        <v>86</v>
      </c>
      <c r="H9" s="5" t="str">
        <f t="shared" si="2"/>
        <v>Lulus</v>
      </c>
    </row>
    <row r="10" spans="1:12" ht="15" thickBot="1" x14ac:dyDescent="0.4">
      <c r="A10" s="5" t="s">
        <v>16</v>
      </c>
      <c r="B10" s="6" t="s">
        <v>19</v>
      </c>
      <c r="C10" s="6">
        <v>78</v>
      </c>
      <c r="D10" s="6">
        <v>74</v>
      </c>
      <c r="E10" s="6">
        <v>81</v>
      </c>
      <c r="F10" s="6">
        <f t="shared" si="0"/>
        <v>233</v>
      </c>
      <c r="G10" s="7">
        <f t="shared" si="1"/>
        <v>77.666666666666671</v>
      </c>
      <c r="H10" s="5" t="str">
        <f t="shared" si="2"/>
        <v>Lulus</v>
      </c>
    </row>
    <row r="11" spans="1:12" ht="15" thickBot="1" x14ac:dyDescent="0.4">
      <c r="A11" s="5" t="s">
        <v>17</v>
      </c>
      <c r="B11" s="6" t="s">
        <v>19</v>
      </c>
      <c r="C11" s="6">
        <v>55</v>
      </c>
      <c r="D11" s="6">
        <v>73</v>
      </c>
      <c r="E11" s="6">
        <v>42</v>
      </c>
      <c r="F11" s="6">
        <f t="shared" si="0"/>
        <v>170</v>
      </c>
      <c r="G11" s="7">
        <f t="shared" si="1"/>
        <v>56.666666666666664</v>
      </c>
      <c r="H11" s="5" t="str">
        <f t="shared" si="2"/>
        <v>Tidak Lulus</v>
      </c>
    </row>
    <row r="13" spans="1:12" x14ac:dyDescent="0.35">
      <c r="A13" s="3" t="s">
        <v>23</v>
      </c>
      <c r="B13" s="3"/>
      <c r="C13" s="8">
        <f>COUNTA(A2:A11)</f>
        <v>10</v>
      </c>
    </row>
    <row r="14" spans="1:12" x14ac:dyDescent="0.35">
      <c r="A14" s="3" t="s">
        <v>24</v>
      </c>
      <c r="B14" s="3"/>
      <c r="C14" s="9">
        <f>MAX(G2:G11)</f>
        <v>88.666666666666671</v>
      </c>
    </row>
    <row r="15" spans="1:12" x14ac:dyDescent="0.35">
      <c r="A15" s="3" t="s">
        <v>25</v>
      </c>
      <c r="B15" s="3"/>
      <c r="C15" s="10">
        <f>MIN(G2:G11)</f>
        <v>47</v>
      </c>
    </row>
    <row r="17" spans="1:3" x14ac:dyDescent="0.35">
      <c r="A17" s="3" t="s">
        <v>26</v>
      </c>
      <c r="B17" s="3"/>
      <c r="C17" s="8">
        <f>COUNTIF(H2:H11,"Lulus")</f>
        <v>6</v>
      </c>
    </row>
    <row r="18" spans="1:3" x14ac:dyDescent="0.35">
      <c r="A18" s="3" t="s">
        <v>27</v>
      </c>
      <c r="B18" s="3"/>
      <c r="C18" s="11">
        <f>SUMIF(H2:H11,"Lulus",F2:F11)</f>
        <v>1427</v>
      </c>
    </row>
    <row r="19" spans="1:3" x14ac:dyDescent="0.35">
      <c r="A19" s="3" t="s">
        <v>28</v>
      </c>
      <c r="B19" s="3"/>
      <c r="C19" s="12">
        <f>AVERAGEIF(H2:H11,"Lulus",G2:G11)</f>
        <v>79.277777777777786</v>
      </c>
    </row>
  </sheetData>
  <pageMargins left="0.7" right="0.7" top="0.75" bottom="0.75" header="0.3" footer="0.3"/>
  <pageSetup paperSize="9" scale="94" orientation="portrait" r:id="rId1"/>
  <colBreaks count="1" manualBreakCount="1">
    <brk id="5" max="1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Paulus Sesa</dc:creator>
  <cp:lastModifiedBy>Paulus Sesa</cp:lastModifiedBy>
  <dcterms:created xsi:type="dcterms:W3CDTF">2026-05-07T15:21:04Z</dcterms:created>
  <dcterms:modified xsi:type="dcterms:W3CDTF">2026-05-07T16:25:17Z</dcterms:modified>
</cp:coreProperties>
</file>