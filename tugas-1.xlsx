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Excell\belajar-excell\"/>
    </mc:Choice>
  </mc:AlternateContent>
  <xr:revisionPtr revIDLastSave="0" documentId="13_ncr:1_{EA9DAE0F-D390-4179-B172-E83AB757A02E}" xr6:coauthVersionLast="47" xr6:coauthVersionMax="47" xr10:uidLastSave="{00000000-0000-0000-0000-000000000000}"/>
  <bookViews>
    <workbookView xWindow="-110" yWindow="-110" windowWidth="19420" windowHeight="10300" activeTab="1" xr2:uid="{DCFC0827-0EF9-42A2-9AA5-829752BCFC3E}"/>
  </bookViews>
  <sheets>
    <sheet name="Sheet1" sheetId="1" r:id="rId1"/>
    <sheet name="soal" sheetId="3" r:id="rId2"/>
    <sheet name="data referens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3" i="2"/>
  <c r="E12" i="2"/>
  <c r="E4" i="2"/>
  <c r="E5" i="2"/>
  <c r="E6" i="2"/>
  <c r="E7" i="2"/>
  <c r="E8" i="2"/>
  <c r="E9" i="2"/>
  <c r="E10" i="2"/>
  <c r="E11" i="2"/>
  <c r="E3" i="2"/>
  <c r="D4" i="2"/>
  <c r="D5" i="2"/>
  <c r="D6" i="2"/>
  <c r="D7" i="2"/>
  <c r="D8" i="2"/>
  <c r="D9" i="2"/>
  <c r="D10" i="2"/>
  <c r="D11" i="2"/>
  <c r="D12" i="2"/>
  <c r="D3" i="2"/>
  <c r="C4" i="2"/>
  <c r="C5" i="2"/>
  <c r="C6" i="2"/>
  <c r="C7" i="2"/>
  <c r="C8" i="2"/>
  <c r="C9" i="2"/>
  <c r="C10" i="2"/>
  <c r="C11" i="2"/>
  <c r="C12" i="2"/>
  <c r="C3" i="2"/>
  <c r="C19" i="1"/>
  <c r="C18" i="1"/>
  <c r="C17" i="1"/>
  <c r="H3" i="1"/>
  <c r="H4" i="1"/>
  <c r="H5" i="1"/>
  <c r="H6" i="1"/>
  <c r="H7" i="1"/>
  <c r="H8" i="1"/>
  <c r="H9" i="1"/>
  <c r="H10" i="1"/>
  <c r="H11" i="1"/>
  <c r="H2" i="1"/>
  <c r="C15" i="1"/>
  <c r="C14" i="1"/>
  <c r="C13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<sst xmlns="http://schemas.openxmlformats.org/spreadsheetml/2006/main" count="86" uniqueCount="60">
  <si>
    <t xml:space="preserve">Nama Murid </t>
  </si>
  <si>
    <t>L/P</t>
  </si>
  <si>
    <t>MTK</t>
  </si>
  <si>
    <t xml:space="preserve">IPA </t>
  </si>
  <si>
    <t>IPS</t>
  </si>
  <si>
    <t xml:space="preserve">Total Nilai </t>
  </si>
  <si>
    <t xml:space="preserve">Nilai Rata Rata </t>
  </si>
  <si>
    <t>Status</t>
  </si>
  <si>
    <t xml:space="preserve">Andi </t>
  </si>
  <si>
    <t>Budi</t>
  </si>
  <si>
    <t xml:space="preserve">Clara </t>
  </si>
  <si>
    <t>Eko</t>
  </si>
  <si>
    <t>Dewi</t>
  </si>
  <si>
    <t>Fiona</t>
  </si>
  <si>
    <t xml:space="preserve">Gina </t>
  </si>
  <si>
    <t>Hesty</t>
  </si>
  <si>
    <t>Iqbal</t>
  </si>
  <si>
    <t>Juned</t>
  </si>
  <si>
    <t>P</t>
  </si>
  <si>
    <t>L</t>
  </si>
  <si>
    <t>kriteria kelulusan berdasarkan nilai rata rata</t>
  </si>
  <si>
    <t>kriteria 65-100 Lulus</t>
  </si>
  <si>
    <t>dibawah 65 tidak Lulus</t>
  </si>
  <si>
    <t xml:space="preserve">Banyak murid dikelas </t>
  </si>
  <si>
    <t>nilai rata rata tertingi</t>
  </si>
  <si>
    <t>nilai rata rata terendah</t>
  </si>
  <si>
    <t>Banyaknya Murid yang Lulus</t>
  </si>
  <si>
    <t>Jumlah total nilai murid yang Lulus</t>
  </si>
  <si>
    <t>Rata rata nilai murid yang Lulus</t>
  </si>
  <si>
    <t>SOAL ADMIN LOGISTIK</t>
  </si>
  <si>
    <t>Tanggal Pemesanan</t>
  </si>
  <si>
    <t>No. Pemesanan</t>
  </si>
  <si>
    <t>Nama Customer</t>
  </si>
  <si>
    <t xml:space="preserve">Domisili </t>
  </si>
  <si>
    <t>Lama Pengiriman (Hari)</t>
  </si>
  <si>
    <t>Tanggal Sampai</t>
  </si>
  <si>
    <t>SOAL LATIHAN LOGISTIK</t>
  </si>
  <si>
    <t xml:space="preserve">Nama Customer </t>
  </si>
  <si>
    <t xml:space="preserve">Jenis Kelamin </t>
  </si>
  <si>
    <t>Domisili</t>
  </si>
  <si>
    <t>Alvin</t>
  </si>
  <si>
    <t>Hardi</t>
  </si>
  <si>
    <t>Laura</t>
  </si>
  <si>
    <t>Putri</t>
  </si>
  <si>
    <t>Ahmad</t>
  </si>
  <si>
    <t>Fadlan</t>
  </si>
  <si>
    <t>Gita</t>
  </si>
  <si>
    <t>Jaka</t>
  </si>
  <si>
    <t>Salsa</t>
  </si>
  <si>
    <t>Novi</t>
  </si>
  <si>
    <t>Laki-laki</t>
  </si>
  <si>
    <t>Perempuan</t>
  </si>
  <si>
    <t>Surabaya</t>
  </si>
  <si>
    <t>Bandung</t>
  </si>
  <si>
    <t>Medan</t>
  </si>
  <si>
    <t>Jakarta</t>
  </si>
  <si>
    <t>Palembang</t>
  </si>
  <si>
    <t xml:space="preserve">Kota </t>
  </si>
  <si>
    <t>Lama Pengiriman</t>
  </si>
  <si>
    <t xml:space="preserve">Palembang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</si>
</sst>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7" tint="0.39997558519241921"/>
      <name val="Calibri"/>
      <family val="2"/>
      <charset val="1"/>
      <scheme val="minor"/>
    </font>
    <font>
      <b/>
      <sz val="14"/>
      <color theme="7" tint="0.3999755851924192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3" xfId="0" applyBorder="1"/>
    <xf numFmtId="164" fontId="0" fillId="0" borderId="4" xfId="0" applyNumberFormat="1" applyBorder="1"/>
    <xf numFmtId="164" fontId="0" fillId="0" borderId="5" xfId="0" applyNumberFormat="1" applyBorder="1"/>
    <xf numFmtId="165" fontId="0" fillId="0" borderId="4" xfId="1" applyNumberFormat="1" applyFont="1" applyBorder="1"/>
    <xf numFmtId="165" fontId="0" fillId="0" borderId="5" xfId="1" applyNumberFormat="1" applyFont="1" applyBorder="1"/>
    <xf numFmtId="0" fontId="2" fillId="0" borderId="2" xfId="0" applyFont="1" applyBorder="1"/>
    <xf numFmtId="0" fontId="0" fillId="0" borderId="1" xfId="0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5" fontId="0" fillId="0" borderId="1" xfId="0" applyNumberFormat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533A-AE0B-4640-BC1B-D3FD2DBCD499}">
  <dimension ref="A1:L19"/>
  <sheetViews>
    <sheetView zoomScaleNormal="100" zoomScaleSheetLayoutView="100" workbookViewId="0">
      <selection activeCell="H14" sqref="H14"/>
    </sheetView>
  </sheetViews>
  <sheetFormatPr defaultRowHeight="14.5" x14ac:dyDescent="0.35"/>
  <cols>
    <col min="1" max="8" width="15.6328125" customWidth="1"/>
    <col min="9" max="9" width="14" customWidth="1"/>
    <col min="10" max="10" width="14.1796875" customWidth="1"/>
    <col min="11" max="11" width="8.7265625" customWidth="1"/>
  </cols>
  <sheetData>
    <row r="1" spans="1:12" ht="15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/>
      <c r="J1" s="2" t="s">
        <v>20</v>
      </c>
      <c r="K1" s="1"/>
      <c r="L1" s="1"/>
    </row>
    <row r="2" spans="1:12" ht="15" thickBot="1" x14ac:dyDescent="0.4">
      <c r="A2" s="5" t="s">
        <v>8</v>
      </c>
      <c r="B2" s="6" t="s">
        <v>19</v>
      </c>
      <c r="C2" s="6">
        <v>80</v>
      </c>
      <c r="D2" s="6">
        <v>90</v>
      </c>
      <c r="E2" s="6">
        <v>95</v>
      </c>
      <c r="F2" s="6">
        <f>SUM(C2:E2)</f>
        <v>265</v>
      </c>
      <c r="G2" s="7">
        <f>AVERAGE(C2:E2)</f>
        <v>88.333333333333329</v>
      </c>
      <c r="H2" s="5" t="str">
        <f>IF(G2&gt;65,"Lulus","Tidak Lulus")</f>
        <v>Lulus</v>
      </c>
      <c r="I2" s="1" t="s">
        <v>21</v>
      </c>
      <c r="J2" s="1"/>
      <c r="K2" s="1"/>
      <c r="L2" s="1"/>
    </row>
    <row r="3" spans="1:12" ht="15" thickBot="1" x14ac:dyDescent="0.4">
      <c r="A3" s="5" t="s">
        <v>9</v>
      </c>
      <c r="B3" s="6" t="s">
        <v>19</v>
      </c>
      <c r="C3" s="6">
        <v>40</v>
      </c>
      <c r="D3" s="6">
        <v>56</v>
      </c>
      <c r="E3" s="6">
        <v>45</v>
      </c>
      <c r="F3" s="6">
        <f t="shared" ref="F3:F11" si="0">SUM(C3:E3)</f>
        <v>141</v>
      </c>
      <c r="G3" s="7">
        <f t="shared" ref="G3:G11" si="1">AVERAGE(C3:E3)</f>
        <v>47</v>
      </c>
      <c r="H3" s="5" t="str">
        <f t="shared" ref="H3:H11" si="2">IF(G3&gt;65,"Lulus","Tidak Lulus")</f>
        <v>Tidak Lulus</v>
      </c>
      <c r="I3" s="1" t="s">
        <v>22</v>
      </c>
      <c r="J3" s="1"/>
      <c r="K3" s="1"/>
      <c r="L3" s="1"/>
    </row>
    <row r="4" spans="1:12" ht="15" thickBot="1" x14ac:dyDescent="0.4">
      <c r="A4" s="5" t="s">
        <v>10</v>
      </c>
      <c r="B4" s="6" t="s">
        <v>18</v>
      </c>
      <c r="C4" s="6">
        <v>26</v>
      </c>
      <c r="D4" s="6">
        <v>85</v>
      </c>
      <c r="E4" s="6">
        <v>74</v>
      </c>
      <c r="F4" s="6">
        <f t="shared" si="0"/>
        <v>185</v>
      </c>
      <c r="G4" s="7">
        <f t="shared" si="1"/>
        <v>61.666666666666664</v>
      </c>
      <c r="H4" s="5" t="str">
        <f t="shared" si="2"/>
        <v>Tidak Lulus</v>
      </c>
    </row>
    <row r="5" spans="1:12" ht="15" thickBot="1" x14ac:dyDescent="0.4">
      <c r="A5" s="5" t="s">
        <v>11</v>
      </c>
      <c r="B5" s="6" t="s">
        <v>19</v>
      </c>
      <c r="C5" s="6">
        <v>89</v>
      </c>
      <c r="D5" s="6">
        <v>86</v>
      </c>
      <c r="E5" s="6">
        <v>91</v>
      </c>
      <c r="F5" s="6">
        <f t="shared" si="0"/>
        <v>266</v>
      </c>
      <c r="G5" s="7">
        <f t="shared" si="1"/>
        <v>88.666666666666671</v>
      </c>
      <c r="H5" s="5" t="str">
        <f t="shared" si="2"/>
        <v>Lulus</v>
      </c>
    </row>
    <row r="6" spans="1:12" ht="15" thickBot="1" x14ac:dyDescent="0.4">
      <c r="A6" s="5" t="s">
        <v>12</v>
      </c>
      <c r="B6" s="6" t="s">
        <v>18</v>
      </c>
      <c r="C6" s="6">
        <v>56</v>
      </c>
      <c r="D6" s="6">
        <v>82</v>
      </c>
      <c r="E6" s="6">
        <v>66</v>
      </c>
      <c r="F6" s="6">
        <f t="shared" si="0"/>
        <v>204</v>
      </c>
      <c r="G6" s="7">
        <f t="shared" si="1"/>
        <v>68</v>
      </c>
      <c r="H6" s="5" t="str">
        <f t="shared" si="2"/>
        <v>Lulus</v>
      </c>
    </row>
    <row r="7" spans="1:12" ht="15" thickBot="1" x14ac:dyDescent="0.4">
      <c r="A7" s="5" t="s">
        <v>13</v>
      </c>
      <c r="B7" s="6" t="s">
        <v>18</v>
      </c>
      <c r="C7" s="6">
        <v>48</v>
      </c>
      <c r="D7" s="6">
        <v>56</v>
      </c>
      <c r="E7" s="6">
        <v>75</v>
      </c>
      <c r="F7" s="6">
        <f t="shared" si="0"/>
        <v>179</v>
      </c>
      <c r="G7" s="7">
        <f t="shared" si="1"/>
        <v>59.666666666666664</v>
      </c>
      <c r="H7" s="5" t="str">
        <f t="shared" si="2"/>
        <v>Tidak Lulus</v>
      </c>
    </row>
    <row r="8" spans="1:12" ht="15" thickBot="1" x14ac:dyDescent="0.4">
      <c r="A8" s="5" t="s">
        <v>14</v>
      </c>
      <c r="B8" s="6" t="s">
        <v>18</v>
      </c>
      <c r="C8" s="6">
        <v>29</v>
      </c>
      <c r="D8" s="6">
        <v>95</v>
      </c>
      <c r="E8" s="6">
        <v>77</v>
      </c>
      <c r="F8" s="6">
        <f t="shared" si="0"/>
        <v>201</v>
      </c>
      <c r="G8" s="7">
        <f t="shared" si="1"/>
        <v>67</v>
      </c>
      <c r="H8" s="5" t="str">
        <f t="shared" si="2"/>
        <v>Lulus</v>
      </c>
    </row>
    <row r="9" spans="1:12" ht="15" thickBot="1" x14ac:dyDescent="0.4">
      <c r="A9" s="5" t="s">
        <v>15</v>
      </c>
      <c r="B9" s="6" t="s">
        <v>18</v>
      </c>
      <c r="C9" s="6">
        <v>89</v>
      </c>
      <c r="D9" s="6">
        <v>85</v>
      </c>
      <c r="E9" s="6">
        <v>84</v>
      </c>
      <c r="F9" s="6">
        <f t="shared" si="0"/>
        <v>258</v>
      </c>
      <c r="G9" s="7">
        <f t="shared" si="1"/>
        <v>86</v>
      </c>
      <c r="H9" s="5" t="str">
        <f t="shared" si="2"/>
        <v>Lulus</v>
      </c>
    </row>
    <row r="10" spans="1:12" ht="15" thickBot="1" x14ac:dyDescent="0.4">
      <c r="A10" s="5" t="s">
        <v>16</v>
      </c>
      <c r="B10" s="6" t="s">
        <v>19</v>
      </c>
      <c r="C10" s="6">
        <v>78</v>
      </c>
      <c r="D10" s="6">
        <v>74</v>
      </c>
      <c r="E10" s="6">
        <v>81</v>
      </c>
      <c r="F10" s="6">
        <f t="shared" si="0"/>
        <v>233</v>
      </c>
      <c r="G10" s="7">
        <f t="shared" si="1"/>
        <v>77.666666666666671</v>
      </c>
      <c r="H10" s="5" t="str">
        <f t="shared" si="2"/>
        <v>Lulus</v>
      </c>
    </row>
    <row r="11" spans="1:12" ht="15" thickBot="1" x14ac:dyDescent="0.4">
      <c r="A11" s="5" t="s">
        <v>17</v>
      </c>
      <c r="B11" s="6" t="s">
        <v>19</v>
      </c>
      <c r="C11" s="6">
        <v>55</v>
      </c>
      <c r="D11" s="6">
        <v>73</v>
      </c>
      <c r="E11" s="6">
        <v>42</v>
      </c>
      <c r="F11" s="6">
        <f t="shared" si="0"/>
        <v>170</v>
      </c>
      <c r="G11" s="7">
        <f t="shared" si="1"/>
        <v>56.666666666666664</v>
      </c>
      <c r="H11" s="5" t="str">
        <f t="shared" si="2"/>
        <v>Tidak Lulus</v>
      </c>
    </row>
    <row r="13" spans="1:12" x14ac:dyDescent="0.35">
      <c r="A13" s="3" t="s">
        <v>23</v>
      </c>
      <c r="B13" s="3"/>
      <c r="C13" s="8">
        <f>COUNTA(A2:A11)</f>
        <v>10</v>
      </c>
    </row>
    <row r="14" spans="1:12" x14ac:dyDescent="0.35">
      <c r="A14" s="3" t="s">
        <v>24</v>
      </c>
      <c r="B14" s="3"/>
      <c r="C14" s="9">
        <f>MAX(G2:G11)</f>
        <v>88.666666666666671</v>
      </c>
    </row>
    <row r="15" spans="1:12" x14ac:dyDescent="0.35">
      <c r="A15" s="3" t="s">
        <v>25</v>
      </c>
      <c r="B15" s="3"/>
      <c r="C15" s="10">
        <f>MIN(G2:G11)</f>
        <v>47</v>
      </c>
    </row>
    <row r="17" spans="1:3" x14ac:dyDescent="0.35">
      <c r="A17" s="3" t="s">
        <v>26</v>
      </c>
      <c r="B17" s="3"/>
      <c r="C17" s="8">
        <f>COUNTIF(H2:H11,"Lulus")</f>
        <v>6</v>
      </c>
    </row>
    <row r="18" spans="1:3" x14ac:dyDescent="0.35">
      <c r="A18" s="3" t="s">
        <v>27</v>
      </c>
      <c r="B18" s="3"/>
      <c r="C18" s="11">
        <f>SUMIF(H2:H11,"Lulus",F2:F11)</f>
        <v>1427</v>
      </c>
    </row>
    <row r="19" spans="1:3" x14ac:dyDescent="0.35">
      <c r="A19" s="3" t="s">
        <v>28</v>
      </c>
      <c r="B19" s="3"/>
      <c r="C19" s="12">
        <f>AVERAGEIF(H2:H11,"Lulus",G2:G11)</f>
        <v>79.277777777777786</v>
      </c>
    </row>
  </sheetData>
  <pageMargins left="0.7" right="0.7" top="0.75" bottom="0.75" header="0.3" footer="0.3"/>
  <pageSetup paperSize="9" scale="94" orientation="portrait" r:id="rId1"/>
  <colBreaks count="1" manualBreakCount="1">
    <brk id="5" max="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A6B0-A8D1-4344-A5C9-A9CC1CDAD27B}">
  <dimension ref="A1:F17"/>
  <sheetViews>
    <sheetView tabSelected="1" topLeftCell="A2" workbookViewId="0">
      <selection activeCell="D19" sqref="D19"/>
    </sheetView>
  </sheetViews>
  <sheetFormatPr defaultRowHeight="14.5" x14ac:dyDescent="0.35"/>
  <cols>
    <col min="1" max="4" width="15.6328125" customWidth="1"/>
  </cols>
  <sheetData>
    <row r="1" spans="1:6" x14ac:dyDescent="0.35">
      <c r="A1" s="15" t="s">
        <v>36</v>
      </c>
      <c r="B1" s="16"/>
      <c r="C1" s="16"/>
      <c r="D1" s="17"/>
    </row>
    <row r="2" spans="1:6" x14ac:dyDescent="0.35">
      <c r="A2" s="18"/>
      <c r="B2" s="19"/>
      <c r="C2" s="19"/>
      <c r="D2" s="20"/>
    </row>
    <row r="3" spans="1:6" x14ac:dyDescent="0.35">
      <c r="A3" s="3" t="s">
        <v>31</v>
      </c>
      <c r="B3" s="3" t="s">
        <v>37</v>
      </c>
      <c r="C3" s="3" t="s">
        <v>38</v>
      </c>
      <c r="D3" s="3" t="s">
        <v>39</v>
      </c>
    </row>
    <row r="4" spans="1:6" x14ac:dyDescent="0.35">
      <c r="A4" s="14">
        <v>290</v>
      </c>
      <c r="B4" s="3" t="s">
        <v>40</v>
      </c>
      <c r="C4" s="3" t="s">
        <v>50</v>
      </c>
      <c r="D4" s="3" t="s">
        <v>52</v>
      </c>
    </row>
    <row r="5" spans="1:6" x14ac:dyDescent="0.35">
      <c r="A5" s="14">
        <v>291</v>
      </c>
      <c r="B5" s="3" t="s">
        <v>41</v>
      </c>
      <c r="C5" s="3" t="s">
        <v>50</v>
      </c>
      <c r="D5" s="3" t="s">
        <v>53</v>
      </c>
    </row>
    <row r="6" spans="1:6" x14ac:dyDescent="0.35">
      <c r="A6" s="14">
        <v>292</v>
      </c>
      <c r="B6" s="3" t="s">
        <v>42</v>
      </c>
      <c r="C6" s="3" t="s">
        <v>51</v>
      </c>
      <c r="D6" s="3" t="s">
        <v>54</v>
      </c>
    </row>
    <row r="7" spans="1:6" x14ac:dyDescent="0.35">
      <c r="A7" s="14">
        <v>293</v>
      </c>
      <c r="B7" s="3" t="s">
        <v>43</v>
      </c>
      <c r="C7" s="3" t="s">
        <v>51</v>
      </c>
      <c r="D7" s="3" t="s">
        <v>53</v>
      </c>
    </row>
    <row r="8" spans="1:6" x14ac:dyDescent="0.35">
      <c r="A8" s="14">
        <v>294</v>
      </c>
      <c r="B8" s="3" t="s">
        <v>44</v>
      </c>
      <c r="C8" s="3" t="s">
        <v>50</v>
      </c>
      <c r="D8" s="3" t="s">
        <v>55</v>
      </c>
    </row>
    <row r="9" spans="1:6" x14ac:dyDescent="0.35">
      <c r="A9" s="14">
        <v>295</v>
      </c>
      <c r="B9" s="3" t="s">
        <v>45</v>
      </c>
      <c r="C9" s="3" t="s">
        <v>50</v>
      </c>
      <c r="D9" s="3" t="s">
        <v>56</v>
      </c>
    </row>
    <row r="10" spans="1:6" x14ac:dyDescent="0.35">
      <c r="A10" s="14">
        <v>296</v>
      </c>
      <c r="B10" s="3" t="s">
        <v>46</v>
      </c>
      <c r="C10" s="3" t="s">
        <v>51</v>
      </c>
      <c r="D10" s="3" t="s">
        <v>52</v>
      </c>
    </row>
    <row r="11" spans="1:6" x14ac:dyDescent="0.35">
      <c r="A11" s="14">
        <v>297</v>
      </c>
      <c r="B11" s="3" t="s">
        <v>47</v>
      </c>
      <c r="C11" s="3" t="s">
        <v>50</v>
      </c>
      <c r="D11" s="3" t="s">
        <v>54</v>
      </c>
    </row>
    <row r="12" spans="1:6" x14ac:dyDescent="0.35">
      <c r="A12" s="14">
        <v>298</v>
      </c>
      <c r="B12" s="3" t="s">
        <v>48</v>
      </c>
      <c r="C12" s="3" t="s">
        <v>51</v>
      </c>
      <c r="D12" s="3" t="s">
        <v>55</v>
      </c>
    </row>
    <row r="13" spans="1:6" x14ac:dyDescent="0.35">
      <c r="A13" s="14">
        <v>299</v>
      </c>
      <c r="B13" s="3" t="s">
        <v>49</v>
      </c>
      <c r="C13" s="3" t="s">
        <v>51</v>
      </c>
      <c r="D13" s="3" t="s">
        <v>56</v>
      </c>
    </row>
    <row r="14" spans="1:6" x14ac:dyDescent="0.35">
      <c r="A14" s="3"/>
      <c r="B14" s="3"/>
      <c r="C14" s="3"/>
      <c r="D14" s="3"/>
    </row>
    <row r="15" spans="1:6" ht="15" thickBot="1" x14ac:dyDescent="0.4"/>
    <row r="16" spans="1:6" ht="15" thickBot="1" x14ac:dyDescent="0.4">
      <c r="A16" s="13" t="s">
        <v>57</v>
      </c>
      <c r="B16" s="4" t="s">
        <v>55</v>
      </c>
      <c r="C16" s="4" t="s">
        <v>53</v>
      </c>
      <c r="D16" s="4" t="s">
        <v>59</v>
      </c>
      <c r="E16" s="4" t="s">
        <v>52</v>
      </c>
      <c r="F16" s="4" t="s">
        <v>54</v>
      </c>
    </row>
    <row r="17" spans="1:6" ht="15" thickBot="1" x14ac:dyDescent="0.4">
      <c r="A17" s="13" t="s">
        <v>58</v>
      </c>
      <c r="B17" s="4">
        <v>2</v>
      </c>
      <c r="C17" s="4">
        <v>1</v>
      </c>
      <c r="D17" s="4">
        <v>4</v>
      </c>
      <c r="E17" s="4">
        <v>3</v>
      </c>
      <c r="F17" s="4">
        <v>5</v>
      </c>
    </row>
  </sheetData>
  <mergeCells count="1"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7D02-9512-4E36-9283-16F2ADB36667}">
  <dimension ref="A1:F12"/>
  <sheetViews>
    <sheetView workbookViewId="0">
      <selection activeCell="G11" sqref="G11"/>
    </sheetView>
  </sheetViews>
  <sheetFormatPr defaultRowHeight="14.5" x14ac:dyDescent="0.35"/>
  <cols>
    <col min="1" max="7" width="20.6328125" customWidth="1"/>
  </cols>
  <sheetData>
    <row r="1" spans="1:6" ht="18.5" x14ac:dyDescent="0.45">
      <c r="A1" s="22" t="s">
        <v>29</v>
      </c>
      <c r="B1" s="23"/>
      <c r="C1" s="23"/>
      <c r="D1" s="23"/>
      <c r="E1" s="23"/>
      <c r="F1" s="23"/>
    </row>
    <row r="2" spans="1:6" x14ac:dyDescent="0.3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</row>
    <row r="3" spans="1:6" x14ac:dyDescent="0.35">
      <c r="A3" s="21">
        <v>44261</v>
      </c>
      <c r="B3" s="3">
        <v>295</v>
      </c>
      <c r="C3" s="3" t="str">
        <f>VLOOKUP(B3,soal!$A$4:$D$13,2,0)</f>
        <v>Fadlan</v>
      </c>
      <c r="D3" s="3" t="str">
        <f>VLOOKUP(B3,soal!$A$4:$D$13,4,0)</f>
        <v>Palembang</v>
      </c>
      <c r="E3" s="24" t="e">
        <f>HLOOKUP(D3,soal!$B$16:$F$17,2,0)</f>
        <v>#N/A</v>
      </c>
      <c r="F3" s="21" t="e">
        <f>A3+E3</f>
        <v>#N/A</v>
      </c>
    </row>
    <row r="4" spans="1:6" x14ac:dyDescent="0.35">
      <c r="A4" s="21">
        <v>44262</v>
      </c>
      <c r="B4" s="3">
        <v>298</v>
      </c>
      <c r="C4" s="3" t="str">
        <f>VLOOKUP(B4,soal!$A$4:$D$13,2,0)</f>
        <v>Salsa</v>
      </c>
      <c r="D4" s="3" t="str">
        <f>VLOOKUP(B4,soal!$A$4:$D$13,4,0)</f>
        <v>Jakarta</v>
      </c>
      <c r="E4" s="3">
        <f>HLOOKUP(D4,soal!$B$16:$F$17,2,0)</f>
        <v>2</v>
      </c>
      <c r="F4" s="21">
        <f t="shared" ref="F4:F12" si="0">A4+E4</f>
        <v>44264</v>
      </c>
    </row>
    <row r="5" spans="1:6" x14ac:dyDescent="0.35">
      <c r="A5" s="21">
        <v>44263</v>
      </c>
      <c r="B5" s="3">
        <v>291</v>
      </c>
      <c r="C5" s="3" t="str">
        <f>VLOOKUP(B5,soal!$A$4:$D$13,2,0)</f>
        <v>Hardi</v>
      </c>
      <c r="D5" s="3" t="str">
        <f>VLOOKUP(B5,soal!$A$4:$D$13,4,0)</f>
        <v>Bandung</v>
      </c>
      <c r="E5" s="3">
        <f>HLOOKUP(D5,soal!$B$16:$F$17,2,0)</f>
        <v>1</v>
      </c>
      <c r="F5" s="21">
        <f t="shared" si="0"/>
        <v>44264</v>
      </c>
    </row>
    <row r="6" spans="1:6" x14ac:dyDescent="0.35">
      <c r="A6" s="21">
        <v>44264</v>
      </c>
      <c r="B6" s="3">
        <v>299</v>
      </c>
      <c r="C6" s="3" t="str">
        <f>VLOOKUP(B6,soal!$A$4:$D$13,2,0)</f>
        <v>Novi</v>
      </c>
      <c r="D6" s="3" t="str">
        <f>VLOOKUP(B6,soal!$A$4:$D$13,4,0)</f>
        <v>Palembang</v>
      </c>
      <c r="E6" s="3" t="e">
        <f>HLOOKUP(D6,soal!$B$16:$F$17,2,0)</f>
        <v>#N/A</v>
      </c>
      <c r="F6" s="21" t="e">
        <f t="shared" si="0"/>
        <v>#N/A</v>
      </c>
    </row>
    <row r="7" spans="1:6" x14ac:dyDescent="0.35">
      <c r="A7" s="21">
        <v>44265</v>
      </c>
      <c r="B7" s="3">
        <v>292</v>
      </c>
      <c r="C7" s="3" t="str">
        <f>VLOOKUP(B7,soal!$A$4:$D$13,2,0)</f>
        <v>Laura</v>
      </c>
      <c r="D7" s="3" t="str">
        <f>VLOOKUP(B7,soal!$A$4:$D$13,4,0)</f>
        <v>Medan</v>
      </c>
      <c r="E7" s="3">
        <f>HLOOKUP(D7,soal!$B$16:$F$17,2,0)</f>
        <v>5</v>
      </c>
      <c r="F7" s="21">
        <f t="shared" si="0"/>
        <v>44270</v>
      </c>
    </row>
    <row r="8" spans="1:6" x14ac:dyDescent="0.35">
      <c r="A8" s="21">
        <v>44266</v>
      </c>
      <c r="B8" s="3">
        <v>296</v>
      </c>
      <c r="C8" s="3" t="str">
        <f>VLOOKUP(B8,soal!$A$4:$D$13,2,0)</f>
        <v>Gita</v>
      </c>
      <c r="D8" s="3" t="str">
        <f>VLOOKUP(B8,soal!$A$4:$D$13,4,0)</f>
        <v>Surabaya</v>
      </c>
      <c r="E8" s="3">
        <f>HLOOKUP(D8,soal!$B$16:$F$17,2,0)</f>
        <v>3</v>
      </c>
      <c r="F8" s="21">
        <f t="shared" si="0"/>
        <v>44269</v>
      </c>
    </row>
    <row r="9" spans="1:6" x14ac:dyDescent="0.35">
      <c r="A9" s="21">
        <v>44267</v>
      </c>
      <c r="B9" s="3">
        <v>293</v>
      </c>
      <c r="C9" s="3" t="str">
        <f>VLOOKUP(B9,soal!$A$4:$D$13,2,0)</f>
        <v>Putri</v>
      </c>
      <c r="D9" s="3" t="str">
        <f>VLOOKUP(B9,soal!$A$4:$D$13,4,0)</f>
        <v>Bandung</v>
      </c>
      <c r="E9" s="3">
        <f>HLOOKUP(D9,soal!$B$16:$F$17,2,0)</f>
        <v>1</v>
      </c>
      <c r="F9" s="21">
        <f t="shared" si="0"/>
        <v>44268</v>
      </c>
    </row>
    <row r="10" spans="1:6" x14ac:dyDescent="0.35">
      <c r="A10" s="21">
        <v>44268</v>
      </c>
      <c r="B10" s="3">
        <v>290</v>
      </c>
      <c r="C10" s="3" t="str">
        <f>VLOOKUP(B10,soal!$A$4:$D$13,2,0)</f>
        <v>Alvin</v>
      </c>
      <c r="D10" s="3" t="str">
        <f>VLOOKUP(B10,soal!$A$4:$D$13,4,0)</f>
        <v>Surabaya</v>
      </c>
      <c r="E10" s="3">
        <f>HLOOKUP(D10,soal!$B$16:$F$17,2,0)</f>
        <v>3</v>
      </c>
      <c r="F10" s="21">
        <f t="shared" si="0"/>
        <v>44271</v>
      </c>
    </row>
    <row r="11" spans="1:6" x14ac:dyDescent="0.35">
      <c r="A11" s="21">
        <v>44269</v>
      </c>
      <c r="B11" s="3">
        <v>294</v>
      </c>
      <c r="C11" s="3" t="str">
        <f>VLOOKUP(B11,soal!$A$4:$D$13,2,0)</f>
        <v>Ahmad</v>
      </c>
      <c r="D11" s="3" t="str">
        <f>VLOOKUP(B11,soal!$A$4:$D$13,4,0)</f>
        <v>Jakarta</v>
      </c>
      <c r="E11" s="3">
        <f>HLOOKUP(D11,soal!$B$16:$F$17,2,0)</f>
        <v>2</v>
      </c>
      <c r="F11" s="21">
        <f t="shared" si="0"/>
        <v>44271</v>
      </c>
    </row>
    <row r="12" spans="1:6" x14ac:dyDescent="0.35">
      <c r="A12" s="21">
        <v>44270</v>
      </c>
      <c r="B12" s="3">
        <v>297</v>
      </c>
      <c r="C12" s="3" t="str">
        <f>VLOOKUP(B12,soal!$A$4:$D$13,2,0)</f>
        <v>Jaka</v>
      </c>
      <c r="D12" s="3" t="str">
        <f>VLOOKUP(B12,soal!$A$4:$D$13,4,0)</f>
        <v>Medan</v>
      </c>
      <c r="E12" s="3">
        <f>HLOOKUP(D12,soal!$B$16:$F$17,2,0)</f>
        <v>5</v>
      </c>
      <c r="F12" s="21">
        <f t="shared" si="0"/>
        <v>44275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soal</vt:lpstr>
      <vt:lpstr>data 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Paulus Sesa</dc:creator>
  <cp:lastModifiedBy>Paulus Sesa</cp:lastModifiedBy>
  <dcterms:created xsi:type="dcterms:W3CDTF">2026-05-07T15:21:04Z</dcterms:created>
  <dcterms:modified xsi:type="dcterms:W3CDTF">2026-05-11T15:21:36Z</dcterms:modified>
</cp:coreProperties>
</file>